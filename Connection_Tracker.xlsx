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Automation\"/>
    </mc:Choice>
  </mc:AlternateContent>
  <xr:revisionPtr revIDLastSave="0" documentId="13_ncr:1_{55E8742A-7FB2-4432-96C2-45A9CBF072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cker" sheetId="1" r:id="rId1"/>
    <sheet name="Settings" sheetId="2" r:id="rId2"/>
    <sheet name="Read 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J5" i="1" s="1"/>
  <c r="O5" i="1" s="1"/>
  <c r="O4" i="1"/>
  <c r="I4" i="1"/>
  <c r="J4" i="1" s="1"/>
  <c r="I3" i="1"/>
  <c r="J3" i="1" s="1"/>
  <c r="O3" i="1" s="1"/>
  <c r="O2" i="1"/>
  <c r="I2" i="1"/>
  <c r="J2" i="1" s="1"/>
</calcChain>
</file>

<file path=xl/sharedStrings.xml><?xml version="1.0" encoding="utf-8"?>
<sst xmlns="http://schemas.openxmlformats.org/spreadsheetml/2006/main" count="86" uniqueCount="76">
  <si>
    <t>WBS No. / SQ No.</t>
  </si>
  <si>
    <t>Customer / Project Name</t>
  </si>
  <si>
    <t>Application Type</t>
  </si>
  <si>
    <t>Planning Officer</t>
  </si>
  <si>
    <t>Officer Email</t>
  </si>
  <si>
    <t>Status</t>
  </si>
  <si>
    <t>Last Status Change</t>
  </si>
  <si>
    <t>SLA Days</t>
  </si>
  <si>
    <t>Days Pending</t>
  </si>
  <si>
    <t>Days vs SLA</t>
  </si>
  <si>
    <t>Submission Round</t>
  </si>
  <si>
    <t>Paid</t>
  </si>
  <si>
    <t>Paid Date</t>
  </si>
  <si>
    <t>Budget Assigned</t>
  </si>
  <si>
    <t>Priority</t>
  </si>
  <si>
    <t>Remarks</t>
  </si>
  <si>
    <t>SIB-260001</t>
  </si>
  <si>
    <t>Example A - Housing Ph2</t>
  </si>
  <si>
    <t>Turnkey Stage 2</t>
  </si>
  <si>
    <t>ABC</t>
  </si>
  <si>
    <t>officer@example.com</t>
  </si>
  <si>
    <t>Rejected - Pending Resubmission</t>
  </si>
  <si>
    <t>2nd</t>
  </si>
  <si>
    <t>Yes</t>
  </si>
  <si>
    <t>No</t>
  </si>
  <si>
    <t>Paid, budget not yet assigned (EXAMPLE ROW)</t>
  </si>
  <si>
    <t>SIB260002</t>
  </si>
  <si>
    <t>Example B - Kpg Supply</t>
  </si>
  <si>
    <t>Supply Application (&lt;100kW)</t>
  </si>
  <si>
    <t>DEF</t>
  </si>
  <si>
    <t>Cost Submitted</t>
  </si>
  <si>
    <t>1st</t>
  </si>
  <si>
    <t>(EXAMPLE ROW)</t>
  </si>
  <si>
    <t>SQ5401</t>
  </si>
  <si>
    <t>Example C - Commercial Lot</t>
  </si>
  <si>
    <t>Upgrading/Downgrading of Supply</t>
  </si>
  <si>
    <t>GHI</t>
  </si>
  <si>
    <t>Charge Issued</t>
  </si>
  <si>
    <t>Awaiting customer payment (EXAMPLE ROW)</t>
  </si>
  <si>
    <t>SIB-260004</t>
  </si>
  <si>
    <t>Example D - Quarry Access</t>
  </si>
  <si>
    <t>Turnkey Stage 1</t>
  </si>
  <si>
    <t>JKL</t>
  </si>
  <si>
    <t>Keyed into SAP</t>
  </si>
  <si>
    <t>3rd</t>
  </si>
  <si>
    <t>Past SLA, third round (EXAMPLE ROW)</t>
  </si>
  <si>
    <t>Setting</t>
  </si>
  <si>
    <t>Days</t>
  </si>
  <si>
    <t>Paid project - chase after (days pending)</t>
  </si>
  <si>
    <t>"Due soon" warning - days before SLA</t>
  </si>
  <si>
    <t>Escalate - days past SLA</t>
  </si>
  <si>
    <t>Default SLA days (used when SLA Days is blank)</t>
  </si>
  <si>
    <t>Yellow cells are inputs - change these anytime, no flow changes needed.</t>
  </si>
  <si>
    <t>SESCO Planning - Connection Charge Tracker (intern project)</t>
  </si>
  <si>
    <t>HEADER COLOURS</t>
  </si>
  <si>
    <t>Dark blue = you fill in.   Green = filled automatically by Power Automate.   Grey = formula, do not type over.</t>
  </si>
  <si>
    <t>PRIORITY (most urgent first)</t>
  </si>
  <si>
    <t>HIGH - ASSIGN BUDGET  (RED) - customer paid, Budget Assigned is not Yes. Money sits in CC-Suspense until done.</t>
  </si>
  <si>
    <t>HIGH - PAID           (RED) - customer has paid. Paid projects are always high priority.</t>
  </si>
  <si>
    <t>OVERDUE - ESCALATE - past SLA by more than the escalation threshold.</t>
  </si>
  <si>
    <t>OVERDUE - past its SLA date.      DUE SOON - approaching its SLA date.</t>
  </si>
  <si>
    <t>AWAITING PAYMENT - charge issued, customer has not paid. No action needed from the team.</t>
  </si>
  <si>
    <t>OK - within SLA.                  SET DATE - Last Status Change is empty, please fill it.</t>
  </si>
  <si>
    <t>NEW ROWS</t>
  </si>
  <si>
    <t>Days Pending, Days vs SLA and Priority are table calculated columns - they fill in automatically</t>
  </si>
  <si>
    <t>when you add a row. Do not type over them.</t>
  </si>
  <si>
    <t>SLA DAYS</t>
  </si>
  <si>
    <t>Mirrors the team sheet's '10/12 days' column. Enter the number governing that project (10, 12 or 14).</t>
  </si>
  <si>
    <t>If left blank, the Settings sheet default is used.</t>
  </si>
  <si>
    <t>ASSUMPTIONS TO CONFIRM</t>
  </si>
  <si>
    <t>1. STA(P) - assumed to be the reviewing party Planning submits to. Nothing here depends on it.</t>
  </si>
  <si>
    <t>2. Confirm what 10/12/14 represent, and whether they are calendar or working days (currently calendar).</t>
  </si>
  <si>
    <t>3. Settings thresholds are placeholders - agree real numbers with the team.</t>
  </si>
  <si>
    <t>DATA NOTE</t>
  </si>
  <si>
    <t>All example rows are invented. Delete them before real use.</t>
  </si>
  <si>
    <t>Keep genuine customer data out of anything sent to personal or external accounts.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</si>
</sst>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0"/>
      <color rgb="FF0000FF"/>
      <name val="Arial"/>
    </font>
    <font>
      <i/>
      <sz val="9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95959"/>
      </patternFill>
    </fill>
    <fill>
      <patternFill patternType="solid">
        <fgColor rgb="FF00B05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5" fontId="2" fillId="0" borderId="1" xfId="0" applyNumberFormat="1" applyFont="1" applyBorder="1"/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/>
    <xf numFmtId="0" fontId="4" fillId="5" borderId="1" xfId="0" applyFont="1" applyFill="1" applyBorder="1"/>
    <xf numFmtId="0" fontId="5" fillId="0" borderId="0" xfId="0" applyFont="1"/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10">
    <dxf>
      <font>
        <b/>
        <sz val="10"/>
        <color rgb="FF000000"/>
        <name val="Arial"/>
      </font>
      <fill>
        <patternFill patternType="solid">
          <fgColor rgb="FFD9D9D9"/>
        </patternFill>
      </fill>
    </dxf>
    <dxf>
      <font>
        <b/>
        <sz val="10"/>
        <color rgb="FF000000"/>
        <name val="Arial"/>
      </font>
      <fill>
        <patternFill patternType="solid">
          <fgColor rgb="FFC6EFCE"/>
        </patternFill>
      </fill>
    </dxf>
    <dxf>
      <font>
        <b/>
        <sz val="10"/>
        <color rgb="FF000000"/>
        <name val="Arial"/>
      </font>
      <fill>
        <patternFill patternType="solid">
          <fgColor rgb="FFD9E1F2"/>
        </patternFill>
      </fill>
    </dxf>
    <dxf>
      <font>
        <b/>
        <sz val="10"/>
        <color rgb="FF000000"/>
        <name val="Arial"/>
      </font>
      <fill>
        <patternFill patternType="solid">
          <fgColor rgb="FFFFE699"/>
        </patternFill>
      </fill>
    </dxf>
    <dxf>
      <font>
        <b/>
        <sz val="10"/>
        <color rgb="FF000000"/>
        <name val="Arial"/>
      </font>
      <fill>
        <patternFill patternType="solid">
          <fgColor rgb="FFFFC000"/>
        </patternFill>
      </fill>
    </dxf>
    <dxf>
      <font>
        <b/>
        <sz val="10"/>
        <color rgb="FFFFFFFF"/>
        <name val="Arial"/>
      </font>
      <fill>
        <patternFill patternType="solid">
          <fgColor rgb="FFED7D31"/>
        </patternFill>
      </fill>
    </dxf>
    <dxf>
      <font>
        <b/>
        <sz val="10"/>
        <color rgb="FFFFFFFF"/>
        <name val="Arial"/>
      </font>
      <fill>
        <patternFill patternType="solid">
          <fgColor rgb="FFC00000"/>
        </patternFill>
      </fill>
    </dxf>
    <dxf>
      <font>
        <b/>
        <sz val="10"/>
        <color rgb="FFFFFFFF"/>
        <name val="Arial"/>
      </font>
      <fill>
        <patternFill patternType="solid">
          <fgColor rgb="FFC00000"/>
        </patternFill>
      </fill>
    </dxf>
    <dxf>
      <fill>
        <patternFill patternType="solid">
          <fgColor rgb="FFFFE699"/>
        </patternFill>
      </fill>
    </dxf>
    <dxf>
      <font>
        <b/>
        <sz val="10"/>
        <name val="Arial"/>
      </font>
      <fill>
        <patternFill patternType="solid">
          <fgColor rgb="FFF4B18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Tracker" displayName="ProjectTracker" ref="A1:P5">
  <tableColumns count="16">
    <tableColumn id="1" xr3:uid="{00000000-0010-0000-0000-000001000000}" name="WBS No. / SQ No."/>
    <tableColumn id="2" xr3:uid="{00000000-0010-0000-0000-000002000000}" name="Customer / Project Name"/>
    <tableColumn id="3" xr3:uid="{00000000-0010-0000-0000-000003000000}" name="Application Type"/>
    <tableColumn id="4" xr3:uid="{00000000-0010-0000-0000-000004000000}" name="Planning Officer"/>
    <tableColumn id="5" xr3:uid="{00000000-0010-0000-0000-000005000000}" name="Officer Email"/>
    <tableColumn id="6" xr3:uid="{00000000-0010-0000-0000-000006000000}" name="Status"/>
    <tableColumn id="7" xr3:uid="{00000000-0010-0000-0000-000007000000}" name="Last Status Change"/>
    <tableColumn id="8" xr3:uid="{00000000-0010-0000-0000-000008000000}" name="SLA Days"/>
    <tableColumn id="9" xr3:uid="{00000000-0010-0000-0000-000009000000}" name="Days Pending">
      <calculatedColumnFormula>IF($A2="","",IF($G2="","",TODAY()-$G2))</calculatedColumnFormula>
    </tableColumn>
    <tableColumn id="10" xr3:uid="{00000000-0010-0000-0000-00000A000000}" name="Days vs SLA">
      <calculatedColumnFormula>IF($A2="","",IF($G2="","",$I2-IF($H2="",Settings!$B$5,$H2)))</calculatedColumnFormula>
    </tableColumn>
    <tableColumn id="11" xr3:uid="{00000000-0010-0000-0000-00000B000000}" name="Submission Round"/>
    <tableColumn id="12" xr3:uid="{00000000-0010-0000-0000-00000C000000}" name="Paid"/>
    <tableColumn id="13" xr3:uid="{00000000-0010-0000-0000-00000D000000}" name="Paid Date"/>
    <tableColumn id="14" xr3:uid="{00000000-0010-0000-0000-00000E000000}" name="Budget Assigned"/>
    <tableColumn id="15" xr3:uid="{00000000-0010-0000-0000-00000F000000}" name="Priority">
      <calculatedColumnFormula>IF($A2="","",IF($F2="Completed","-",IF($G2="","SET DATE",IF(AND($L2="Yes",$N2&lt;&gt;"Yes"),"HIGH - ASSIGN BUDGET",IF($L2="Yes","HIGH - PAID",IF(AND($F2="Charge Issued",$L2&lt;&gt;"Yes"),"AWAITING PAYMENT",IF($J2&gt;=Settings!$B$4,"OVERDUE - ESCALATE",IF($J2&gt;0,"OVERDUE",IF($J2&gt;=-1*Settings!$B$3,"DUE SOON","OK")))))))))</calculatedColumnFormula>
    </tableColumn>
    <tableColumn id="16" xr3:uid="{00000000-0010-0000-0000-000010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6" customWidth="1"/>
    <col min="2" max="2" width="26" customWidth="1"/>
    <col min="3" max="3" width="24" customWidth="1"/>
    <col min="4" max="4" width="15" customWidth="1"/>
    <col min="5" max="5" width="27" customWidth="1"/>
    <col min="6" max="6" width="26" customWidth="1"/>
    <col min="7" max="7" width="15" customWidth="1"/>
    <col min="8" max="8" width="9" customWidth="1"/>
    <col min="9" max="10" width="11" customWidth="1"/>
    <col min="11" max="11" width="13" customWidth="1"/>
    <col min="12" max="12" width="8" customWidth="1"/>
    <col min="13" max="13" width="12" customWidth="1"/>
    <col min="14" max="14" width="13" customWidth="1"/>
    <col min="15" max="15" width="24" customWidth="1"/>
    <col min="16" max="16" width="34" customWidth="1"/>
  </cols>
  <sheetData>
    <row r="1" spans="1:16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2" t="s">
        <v>14</v>
      </c>
      <c r="P1" s="1" t="s">
        <v>15</v>
      </c>
    </row>
    <row r="2" spans="1:16" x14ac:dyDescent="0.3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5">
        <v>46231</v>
      </c>
      <c r="H2" s="4">
        <v>10</v>
      </c>
      <c r="I2" s="6">
        <f ca="1">IF($A2="","",IF($G2="","",TODAY()-$G2))</f>
        <v>6</v>
      </c>
      <c r="J2" s="6">
        <f ca="1">IF($A2="","",IF($G2="","",$I2-IF($H2="",Settings!$B$5,$H2)))</f>
        <v>-4</v>
      </c>
      <c r="K2" s="4" t="s">
        <v>22</v>
      </c>
      <c r="L2" s="4" t="s">
        <v>23</v>
      </c>
      <c r="M2" s="5">
        <v>46233</v>
      </c>
      <c r="N2" s="4" t="s">
        <v>24</v>
      </c>
      <c r="O2" s="7" t="str">
        <f>IF($A2="","",IF($F2="Completed","-",IF($G2="","SET DATE",IF(AND($L2="Yes",$N2&lt;&gt;"Yes"),"HIGH - ASSIGN BUDGET",IF($L2="Yes","HIGH - PAID",IF(AND($F2="Charge Issued",$L2&lt;&gt;"Yes"),"AWAITING PAYMENT",IF($J2&gt;=Settings!$B$4,"OVERDUE - ESCALATE",IF($J2&gt;0,"OVERDUE",IF($J2&gt;=-1*Settings!$B$3,"DUE SOON","OK")))))))))</f>
        <v>HIGH - ASSIGN BUDGET</v>
      </c>
      <c r="P2" s="4" t="s">
        <v>25</v>
      </c>
    </row>
    <row r="3" spans="1:16" x14ac:dyDescent="0.3">
      <c r="A3" s="4" t="s">
        <v>26</v>
      </c>
      <c r="B3" s="4" t="s">
        <v>27</v>
      </c>
      <c r="C3" s="4" t="s">
        <v>28</v>
      </c>
      <c r="D3" s="4" t="s">
        <v>29</v>
      </c>
      <c r="E3" s="4" t="s">
        <v>20</v>
      </c>
      <c r="F3" s="4" t="s">
        <v>30</v>
      </c>
      <c r="G3" s="5">
        <v>46236</v>
      </c>
      <c r="H3" s="4">
        <v>12</v>
      </c>
      <c r="I3" s="6">
        <f ca="1">IF($A3="","",IF($G3="","",TODAY()-$G3))</f>
        <v>1</v>
      </c>
      <c r="J3" s="6">
        <f ca="1">IF($A3="","",IF($G3="","",$I3-IF($H3="",Settings!$B$5,$H3)))</f>
        <v>-11</v>
      </c>
      <c r="K3" s="4" t="s">
        <v>31</v>
      </c>
      <c r="L3" s="4" t="s">
        <v>24</v>
      </c>
      <c r="M3" s="5"/>
      <c r="N3" s="4" t="s">
        <v>24</v>
      </c>
      <c r="O3" s="7" t="str">
        <f ca="1">IF($A3="","",IF($F3="Completed","-",IF($G3="","SET DATE",IF(AND($L3="Yes",$N3&lt;&gt;"Yes"),"HIGH - ASSIGN BUDGET",IF($L3="Yes","HIGH - PAID",IF(AND($F3="Charge Issued",$L3&lt;&gt;"Yes"),"AWAITING PAYMENT",IF($J3&gt;=Settings!$B$4,"OVERDUE - ESCALATE",IF($J3&gt;0,"OVERDUE",IF($J3&gt;=-1*Settings!$B$3,"DUE SOON","OK")))))))))</f>
        <v>OK</v>
      </c>
      <c r="P3" s="4" t="s">
        <v>32</v>
      </c>
    </row>
    <row r="4" spans="1:16" x14ac:dyDescent="0.3">
      <c r="A4" s="4" t="s">
        <v>33</v>
      </c>
      <c r="B4" s="4" t="s">
        <v>34</v>
      </c>
      <c r="C4" s="4" t="s">
        <v>35</v>
      </c>
      <c r="D4" s="4" t="s">
        <v>36</v>
      </c>
      <c r="E4" s="4" t="s">
        <v>20</v>
      </c>
      <c r="F4" s="4" t="s">
        <v>37</v>
      </c>
      <c r="G4" s="5">
        <v>46227</v>
      </c>
      <c r="H4" s="4">
        <v>14</v>
      </c>
      <c r="I4" s="6">
        <f ca="1">IF($A4="","",IF($G4="","",TODAY()-$G4))</f>
        <v>10</v>
      </c>
      <c r="J4" s="6">
        <f ca="1">IF($A4="","",IF($G4="","",$I4-IF($H4="",Settings!$B$5,$H4)))</f>
        <v>-4</v>
      </c>
      <c r="K4" s="4" t="s">
        <v>31</v>
      </c>
      <c r="L4" s="4" t="s">
        <v>24</v>
      </c>
      <c r="M4" s="5"/>
      <c r="N4" s="4" t="s">
        <v>24</v>
      </c>
      <c r="O4" s="7" t="str">
        <f>IF($A4="","",IF($F4="Completed","-",IF($G4="","SET DATE",IF(AND($L4="Yes",$N4&lt;&gt;"Yes"),"HIGH - ASSIGN BUDGET",IF($L4="Yes","HIGH - PAID",IF(AND($F4="Charge Issued",$L4&lt;&gt;"Yes"),"AWAITING PAYMENT",IF($J4&gt;=Settings!$B$4,"OVERDUE - ESCALATE",IF($J4&gt;0,"OVERDUE",IF($J4&gt;=-1*Settings!$B$3,"DUE SOON","OK")))))))))</f>
        <v>AWAITING PAYMENT</v>
      </c>
      <c r="P4" s="4" t="s">
        <v>38</v>
      </c>
    </row>
    <row r="5" spans="1:16" x14ac:dyDescent="0.3">
      <c r="A5" s="4" t="s">
        <v>39</v>
      </c>
      <c r="B5" s="4" t="s">
        <v>40</v>
      </c>
      <c r="C5" s="4" t="s">
        <v>41</v>
      </c>
      <c r="D5" s="4" t="s">
        <v>42</v>
      </c>
      <c r="E5" s="4" t="s">
        <v>20</v>
      </c>
      <c r="F5" s="4" t="s">
        <v>43</v>
      </c>
      <c r="G5" s="5">
        <v>46222</v>
      </c>
      <c r="H5" s="4">
        <v>10</v>
      </c>
      <c r="I5" s="6">
        <f ca="1">IF($A5="","",IF($G5="","",TODAY()-$G5))</f>
        <v>15</v>
      </c>
      <c r="J5" s="6">
        <f ca="1">IF($A5="","",IF($G5="","",$I5-IF($H5="",Settings!$B$5,$H5)))</f>
        <v>5</v>
      </c>
      <c r="K5" s="4" t="s">
        <v>44</v>
      </c>
      <c r="L5" s="4" t="s">
        <v>24</v>
      </c>
      <c r="M5" s="5"/>
      <c r="N5" s="4" t="s">
        <v>24</v>
      </c>
      <c r="O5" s="7" t="str">
        <f ca="1">IF($A5="","",IF($F5="Completed","-",IF($G5="","SET DATE",IF(AND($L5="Yes",$N5&lt;&gt;"Yes"),"HIGH - ASSIGN BUDGET",IF($L5="Yes","HIGH - PAID",IF(AND($F5="Charge Issued",$L5&lt;&gt;"Yes"),"AWAITING PAYMENT",IF($J5&gt;=Settings!$B$4,"OVERDUE - ESCALATE",IF($J5&gt;0,"OVERDUE",IF($J5&gt;=-1*Settings!$B$3,"DUE SOON","OK")))))))))</f>
        <v>OVERDUE - ESCALATE</v>
      </c>
      <c r="P5" s="4" t="s">
        <v>45</v>
      </c>
    </row>
  </sheetData>
  <conditionalFormatting sqref="K2:K400">
    <cfRule type="expression" dxfId="9" priority="9" stopIfTrue="1">
      <formula>OR($K2="3rd",$K2="4th+")</formula>
    </cfRule>
    <cfRule type="expression" dxfId="8" priority="10" stopIfTrue="1">
      <formula>$K2="2nd"</formula>
    </cfRule>
  </conditionalFormatting>
  <conditionalFormatting sqref="L2:L400">
    <cfRule type="expression" dxfId="7" priority="8" stopIfTrue="1">
      <formula>$L2="Yes"</formula>
    </cfRule>
  </conditionalFormatting>
  <conditionalFormatting sqref="O2:O400">
    <cfRule type="expression" dxfId="6" priority="1" stopIfTrue="1">
      <formula>ISNUMBER(SEARCH("HIGH",$O2))</formula>
    </cfRule>
    <cfRule type="expression" dxfId="5" priority="2" stopIfTrue="1">
      <formula>ISNUMBER(SEARCH("OVERDUE - ESCAL",$O2))</formula>
    </cfRule>
    <cfRule type="expression" dxfId="4" priority="3" stopIfTrue="1">
      <formula>ISNUMBER(SEARCH("OVERDUE",$O2))</formula>
    </cfRule>
    <cfRule type="expression" dxfId="3" priority="4" stopIfTrue="1">
      <formula>ISNUMBER(SEARCH("DUE SOON",$O2))</formula>
    </cfRule>
    <cfRule type="expression" dxfId="2" priority="5" stopIfTrue="1">
      <formula>ISNUMBER(SEARCH("AWAITING PAYMENT",$O2))</formula>
    </cfRule>
    <cfRule type="expression" dxfId="1" priority="6" stopIfTrue="1">
      <formula>ISNUMBER(SEARCH("OK",$O2))</formula>
    </cfRule>
    <cfRule type="expression" dxfId="0" priority="7" stopIfTrue="1">
      <formula>ISNUMBER(SEARCH("SET DATE",$O2))</formula>
    </cfRule>
  </conditionalFormatting>
  <dataValidations count="5">
    <dataValidation type="list" allowBlank="1" sqref="C2:C400" xr:uid="{00000000-0002-0000-0000-000000000000}">
      <formula1>"Substation Site Enquiry,Turnkey Stage 1,Turnkey Stage 2,Supply Application (&lt;100kW),Upgrading/Downgrading of Supply"</formula1>
    </dataValidation>
    <dataValidation type="list" allowBlank="1" sqref="F2:F400" xr:uid="{00000000-0002-0000-0000-000001000000}">
      <formula1>"Keyed into SAP,Cost Submitted,Rejected - Pending Resubmission,Engineer Approved,Manager Approved,Charge Issued,Work In Progress,Completed"</formula1>
    </dataValidation>
    <dataValidation type="list" allowBlank="1" sqref="H2:H400" xr:uid="{00000000-0002-0000-0000-000002000000}">
      <formula1>"10,12,14"</formula1>
    </dataValidation>
    <dataValidation type="list" allowBlank="1" sqref="K2:K400" xr:uid="{00000000-0002-0000-0000-000003000000}">
      <formula1>"1st,2nd,3rd,4th+"</formula1>
    </dataValidation>
    <dataValidation type="list" allowBlank="1" sqref="L2:L400 N2:N400" xr:uid="{00000000-0002-0000-0000-000004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48" customWidth="1"/>
    <col min="2" max="2" width="10" customWidth="1"/>
  </cols>
  <sheetData>
    <row r="1" spans="1:2" x14ac:dyDescent="0.3">
      <c r="A1" s="8" t="s">
        <v>46</v>
      </c>
      <c r="B1" s="8" t="s">
        <v>47</v>
      </c>
    </row>
    <row r="2" spans="1:2" x14ac:dyDescent="0.3">
      <c r="A2" s="4" t="s">
        <v>48</v>
      </c>
      <c r="B2" s="9">
        <v>2</v>
      </c>
    </row>
    <row r="3" spans="1:2" x14ac:dyDescent="0.3">
      <c r="A3" s="4" t="s">
        <v>49</v>
      </c>
      <c r="B3" s="9">
        <v>2</v>
      </c>
    </row>
    <row r="4" spans="1:2" x14ac:dyDescent="0.3">
      <c r="A4" s="4" t="s">
        <v>50</v>
      </c>
      <c r="B4" s="9">
        <v>3</v>
      </c>
    </row>
    <row r="5" spans="1:2" x14ac:dyDescent="0.3">
      <c r="A5" s="4" t="s">
        <v>51</v>
      </c>
      <c r="B5" s="9">
        <v>12</v>
      </c>
    </row>
    <row r="7" spans="1:2" x14ac:dyDescent="0.3">
      <c r="A7" s="10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9"/>
  <sheetViews>
    <sheetView workbookViewId="0"/>
  </sheetViews>
  <sheetFormatPr defaultRowHeight="14.4" x14ac:dyDescent="0.3"/>
  <cols>
    <col min="1" max="1" width="112" customWidth="1"/>
  </cols>
  <sheetData>
    <row r="1" spans="1:1" x14ac:dyDescent="0.3">
      <c r="A1" s="11" t="s">
        <v>53</v>
      </c>
    </row>
    <row r="2" spans="1:1" x14ac:dyDescent="0.3">
      <c r="A2" s="12"/>
    </row>
    <row r="3" spans="1:1" x14ac:dyDescent="0.3">
      <c r="A3" s="11" t="s">
        <v>54</v>
      </c>
    </row>
    <row r="4" spans="1:1" x14ac:dyDescent="0.3">
      <c r="A4" s="12" t="s">
        <v>55</v>
      </c>
    </row>
    <row r="5" spans="1:1" x14ac:dyDescent="0.3">
      <c r="A5" s="12"/>
    </row>
    <row r="6" spans="1:1" x14ac:dyDescent="0.3">
      <c r="A6" s="11" t="s">
        <v>56</v>
      </c>
    </row>
    <row r="7" spans="1:1" x14ac:dyDescent="0.3">
      <c r="A7" s="12" t="s">
        <v>57</v>
      </c>
    </row>
    <row r="8" spans="1:1" x14ac:dyDescent="0.3">
      <c r="A8" s="12" t="s">
        <v>58</v>
      </c>
    </row>
    <row r="9" spans="1:1" x14ac:dyDescent="0.3">
      <c r="A9" s="12" t="s">
        <v>59</v>
      </c>
    </row>
    <row r="10" spans="1:1" x14ac:dyDescent="0.3">
      <c r="A10" s="12" t="s">
        <v>60</v>
      </c>
    </row>
    <row r="11" spans="1:1" x14ac:dyDescent="0.3">
      <c r="A11" s="12" t="s">
        <v>61</v>
      </c>
    </row>
    <row r="12" spans="1:1" x14ac:dyDescent="0.3">
      <c r="A12" s="12" t="s">
        <v>62</v>
      </c>
    </row>
    <row r="13" spans="1:1" x14ac:dyDescent="0.3">
      <c r="A13" s="12"/>
    </row>
    <row r="14" spans="1:1" x14ac:dyDescent="0.3">
      <c r="A14" s="11" t="s">
        <v>63</v>
      </c>
    </row>
    <row r="15" spans="1:1" x14ac:dyDescent="0.3">
      <c r="A15" s="12" t="s">
        <v>64</v>
      </c>
    </row>
    <row r="16" spans="1:1" x14ac:dyDescent="0.3">
      <c r="A16" s="12" t="s">
        <v>65</v>
      </c>
    </row>
    <row r="17" spans="1:1" x14ac:dyDescent="0.3">
      <c r="A17" s="12"/>
    </row>
    <row r="18" spans="1:1" x14ac:dyDescent="0.3">
      <c r="A18" s="11" t="s">
        <v>66</v>
      </c>
    </row>
    <row r="19" spans="1:1" x14ac:dyDescent="0.3">
      <c r="A19" s="12" t="s">
        <v>67</v>
      </c>
    </row>
    <row r="20" spans="1:1" x14ac:dyDescent="0.3">
      <c r="A20" s="12" t="s">
        <v>68</v>
      </c>
    </row>
    <row r="21" spans="1:1" x14ac:dyDescent="0.3">
      <c r="A21" s="12"/>
    </row>
    <row r="22" spans="1:1" x14ac:dyDescent="0.3">
      <c r="A22" s="11" t="s">
        <v>69</v>
      </c>
    </row>
    <row r="23" spans="1:1" x14ac:dyDescent="0.3">
      <c r="A23" s="12" t="s">
        <v>70</v>
      </c>
    </row>
    <row r="24" spans="1:1" x14ac:dyDescent="0.3">
      <c r="A24" s="12" t="s">
        <v>71</v>
      </c>
    </row>
    <row r="25" spans="1:1" x14ac:dyDescent="0.3">
      <c r="A25" s="12" t="s">
        <v>72</v>
      </c>
    </row>
    <row r="26" spans="1:1" x14ac:dyDescent="0.3">
      <c r="A26" s="12"/>
    </row>
    <row r="27" spans="1:1" x14ac:dyDescent="0.3">
      <c r="A27" s="11" t="s">
        <v>73</v>
      </c>
    </row>
    <row r="28" spans="1:1" x14ac:dyDescent="0.3">
      <c r="A28" s="12" t="s">
        <v>74</v>
      </c>
    </row>
    <row r="29" spans="1:1" x14ac:dyDescent="0.3">
      <c r="A29" s="12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Tracker</vt:lpstr>
      <vt:lpstr>Settings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loh jia yao</cp:lastModifiedBy>
  <dcterms:created xsi:type="dcterms:W3CDTF">2026-08-03T05:41:10Z</dcterms:created>
  <dcterms:modified xsi:type="dcterms:W3CDTF">2026-08-03T05:42:12Z</dcterms:modified>
</cp:coreProperties>
</file>