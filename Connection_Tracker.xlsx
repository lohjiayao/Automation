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wnloads\Automation\"/>
    </mc:Choice>
  </mc:AlternateContent>
  <xr:revisionPtr revIDLastSave="0" documentId="13_ncr:1_{5BC98C09-665B-439F-985F-BB8942569A3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racker" sheetId="1" r:id="rId1"/>
    <sheet name="Settings" sheetId="2" r:id="rId2"/>
    <sheet name="Email Log" sheetId="3" r:id="rId3"/>
    <sheet name="Read Me" sheetId="4" r:id="rId4"/>
  </sheets>
  <definedNames>
    <definedName name="OfficerList">Settings!$D$2:$D$50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1" l="1"/>
  <c r="I7" i="1"/>
  <c r="D7" i="1"/>
  <c r="I6" i="1"/>
  <c r="O6" i="1" s="1"/>
  <c r="D6" i="1"/>
  <c r="I5" i="1"/>
  <c r="O5" i="1" s="1"/>
  <c r="D5" i="1"/>
  <c r="O4" i="1"/>
  <c r="I4" i="1"/>
  <c r="D4" i="1"/>
  <c r="O3" i="1"/>
  <c r="I3" i="1"/>
  <c r="D3" i="1"/>
  <c r="O2" i="1"/>
  <c r="I2" i="1"/>
  <c r="D2" i="1"/>
</calcChain>
</file>

<file path=xl/sharedStrings.xml><?xml version="1.0" encoding="utf-8"?>
<sst xmlns="http://schemas.openxmlformats.org/spreadsheetml/2006/main" count="124" uniqueCount="108">
  <si>
    <t>WBS No. / SQ No.</t>
  </si>
  <si>
    <t>Customer</t>
  </si>
  <si>
    <t>Planning Officer</t>
  </si>
  <si>
    <t>Officer Email</t>
  </si>
  <si>
    <t>Conn. Charge Paid</t>
  </si>
  <si>
    <t>Conn. Paid Date</t>
  </si>
  <si>
    <t>Other Charge Status</t>
  </si>
  <si>
    <t>Target Date</t>
  </si>
  <si>
    <t>Days vs Target</t>
  </si>
  <si>
    <t>Submission Round</t>
  </si>
  <si>
    <t>Rejection Reason</t>
  </si>
  <si>
    <t>Snooze Until</t>
  </si>
  <si>
    <t>Finance Reminders</t>
  </si>
  <si>
    <t>Last Reminder Date</t>
  </si>
  <si>
    <t>Priority</t>
  </si>
  <si>
    <t>Remarks</t>
  </si>
  <si>
    <t>SIB-260101</t>
  </si>
  <si>
    <t>Alpha Housing</t>
  </si>
  <si>
    <t>ABC</t>
  </si>
  <si>
    <t>Yes</t>
  </si>
  <si>
    <t>Not Started</t>
  </si>
  <si>
    <t>1st</t>
  </si>
  <si>
    <t>Paid - other charge not listed yet (EXAMPLE)</t>
  </si>
  <si>
    <t>SIB-260102</t>
  </si>
  <si>
    <t>Beta Supply</t>
  </si>
  <si>
    <t>DEF</t>
  </si>
  <si>
    <t>Rejected - Pending Resubmission</t>
  </si>
  <si>
    <t>2nd</t>
  </si>
  <si>
    <t>Missing cable schedule</t>
  </si>
  <si>
    <t>Rejected, 8 days past target (EXAMPLE)</t>
  </si>
  <si>
    <t>SIB-260103</t>
  </si>
  <si>
    <t>Gamma Lot</t>
  </si>
  <si>
    <t>GHI</t>
  </si>
  <si>
    <t>No</t>
  </si>
  <si>
    <t>Awaiting connection charge payment (EXAMPLE)</t>
  </si>
  <si>
    <t>SIB-260104</t>
  </si>
  <si>
    <t>Delta Works</t>
  </si>
  <si>
    <t>JKL</t>
  </si>
  <si>
    <t>Pending Engineer</t>
  </si>
  <si>
    <t>With engineer, due tomorrow (EXAMPLE)</t>
  </si>
  <si>
    <t>SIB-260105</t>
  </si>
  <si>
    <t>Epsilon Depot</t>
  </si>
  <si>
    <t>MNO</t>
  </si>
  <si>
    <t>Pending Manager</t>
  </si>
  <si>
    <t>With manager, 3 days overdue (EXAMPLE)</t>
  </si>
  <si>
    <t>SIB-260106</t>
  </si>
  <si>
    <t>Zeta Plaza</t>
  </si>
  <si>
    <t>PQR</t>
  </si>
  <si>
    <t>Completed</t>
  </si>
  <si>
    <t>Done (EXAMPLE)</t>
  </si>
  <si>
    <t>Setting</t>
  </si>
  <si>
    <t>Value</t>
  </si>
  <si>
    <t>Officer</t>
  </si>
  <si>
    <t>Email</t>
  </si>
  <si>
    <t>Escalate - days past target</t>
  </si>
  <si>
    <t>abc@example.com</t>
  </si>
  <si>
    <t>"Due soon" - days before target</t>
  </si>
  <si>
    <t>def@example.com</t>
  </si>
  <si>
    <t>Paid project - chase after (days)</t>
  </si>
  <si>
    <t>ghi@example.com</t>
  </si>
  <si>
    <t>Default officer email (fallback)</t>
  </si>
  <si>
    <t>officer@example.com</t>
  </si>
  <si>
    <t>jkl@example.com</t>
  </si>
  <si>
    <t>Engineer email</t>
  </si>
  <si>
    <t>engineer@example.com</t>
  </si>
  <si>
    <t>mno@example.com</t>
  </si>
  <si>
    <t>Manager email</t>
  </si>
  <si>
    <t>manager@example.com</t>
  </si>
  <si>
    <t>pqr@example.com</t>
  </si>
  <si>
    <t>Yellow = inputs. Change anytime; scripts read these, no code edit needed.</t>
  </si>
  <si>
    <t>Add an operator by adding a row here. The Tracker's officer dropdown updates.</t>
  </si>
  <si>
    <t>Date/Time</t>
  </si>
  <si>
    <t>Sender</t>
  </si>
  <si>
    <t>Subject</t>
  </si>
  <si>
    <t>Reference</t>
  </si>
  <si>
    <t>Action taken</t>
  </si>
  <si>
    <t>03/08/2026 09:36</t>
  </si>
  <si>
    <t>finance.a@sarawakenergy.com</t>
  </si>
  <si>
    <t>[For Action] CC Bill Paid - SIB-260101</t>
  </si>
  <si>
    <t>Marked paid (EXAMPLE)</t>
  </si>
  <si>
    <t>SESCO Planning - Other Charge Tracker</t>
  </si>
  <si>
    <t>SHEETS</t>
  </si>
  <si>
    <t>Tracker   - one row per project (the Other Charge).</t>
  </si>
  <si>
    <t>Settings  - all variables: thresholds + emails (left) and the Officer directory (right).</t>
  </si>
  <si>
    <t>Email Log - every Finance email the automation processes is logged here.</t>
  </si>
  <si>
    <t>HEADER COLOURS</t>
  </si>
  <si>
    <t>Dark blue = you fill in.   Green = set automatically by Power Automate.   Grey = formula, do not type over.</t>
  </si>
  <si>
    <t>OFFICER + EMAIL</t>
  </si>
  <si>
    <t>Pick the Planning Officer from the dropdown; the Officer Email fills in automatically from the</t>
  </si>
  <si>
    <t>Officer directory on the Settings sheet. To add an operator, add a row to that directory.</t>
  </si>
  <si>
    <t>THE DEADLINE - 'Target Date'</t>
  </si>
  <si>
    <t>Each project has a Target Date you set. 'Days vs Target': positive = overdue, negative = days left.</t>
  </si>
  <si>
    <t>WHO GETS CHASED = THE STATUS</t>
  </si>
  <si>
    <t>Not Started (paid) -&gt; Operator.   Keyed into SAP / Pending Engineer -&gt; Engineer.</t>
  </si>
  <si>
    <t>Pending Manager -&gt; Manager.       Rejected - Pending Resubmission -&gt; Operator.</t>
  </si>
  <si>
    <t>Approved / Completed -&gt; nobody (done).</t>
  </si>
  <si>
    <t>PRIORITY MEANINGS (most urgent first)</t>
  </si>
  <si>
    <t>URGENT - LIST CHARGE (red) - paid, other charge still Not Started.</t>
  </si>
  <si>
    <t>OVERDUE - ESCALATE (orange) - past target by the escalation threshold.</t>
  </si>
  <si>
    <t>OVERDUE (amber) - past Target Date.   DUE SOON - approaching it.</t>
  </si>
  <si>
    <t>SNOOZED - a future Snooze Until date is set; silent until then (temporary).</t>
  </si>
  <si>
    <t>DONE - Approved or Completed; never chased again (permanent).</t>
  </si>
  <si>
    <t>SET TARGET - in progress but no Target Date yet.   OK - nothing to do yet.</t>
  </si>
  <si>
    <t>SNOOZE vs DONE</t>
  </si>
  <si>
    <t>Snooze = 'chase me after this date', expires by itself. Done = Status set to Completed/Approved,</t>
  </si>
  <si>
    <t>stops reminders permanently. Both stop the emails; only Snooze comes back on its own.</t>
  </si>
  <si>
    <t>DATA NOTE</t>
  </si>
  <si>
    <t>All example rows and addresses are invented. Delete them before real use.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</si>
</sst>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/mm/yyyy"/>
  </numFmts>
  <fonts count="8" x14ac:knownFonts="1">
    <font>
      <sz val="11"/>
      <color theme="1"/>
      <name val="Calibri"/>
      <family val="2"/>
      <scheme val="minor"/>
    </font>
    <font>
      <b/>
      <sz val="10"/>
      <color rgb="FF000000"/>
      <name val="Arial"/>
    </font>
    <font>
      <sz val="10"/>
      <color rgb="FF000000"/>
      <name val="Arial"/>
    </font>
    <font>
      <b/>
      <sz val="10"/>
      <name val="Arial"/>
    </font>
    <font>
      <i/>
      <sz val="9"/>
      <name val="Arial"/>
    </font>
    <font>
      <i/>
      <sz val="10"/>
      <name val="Arial"/>
    </font>
    <font>
      <b/>
      <sz val="11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D9D9D9"/>
      </patternFill>
    </fill>
    <fill>
      <patternFill patternType="solid">
        <fgColor rgb="FFC6E0B4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65" fontId="2" fillId="0" borderId="1" xfId="0" applyNumberFormat="1" applyFont="1" applyBorder="1"/>
    <xf numFmtId="1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2" borderId="1" xfId="0" applyFont="1" applyFill="1" applyBorder="1"/>
    <xf numFmtId="0" fontId="2" fillId="5" borderId="1" xfId="0" applyFont="1" applyFill="1" applyBorder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wrapText="1"/>
    </xf>
    <xf numFmtId="0" fontId="7" fillId="0" borderId="0" xfId="0" applyFont="1" applyAlignment="1">
      <alignment wrapText="1"/>
    </xf>
  </cellXfs>
  <cellStyles count="1">
    <cellStyle name="Normal" xfId="0" builtinId="0"/>
  </cellStyles>
  <dxfs count="11">
    <dxf>
      <font>
        <b/>
        <sz val="10"/>
        <color rgb="FF000000"/>
        <name val="Arial"/>
      </font>
      <fill>
        <patternFill patternType="solid">
          <fgColor rgb="FFC6E0B4"/>
        </patternFill>
      </fill>
    </dxf>
    <dxf>
      <font>
        <b/>
        <sz val="10"/>
        <color rgb="FF000000"/>
        <name val="Arial"/>
      </font>
      <fill>
        <patternFill patternType="solid">
          <fgColor rgb="FFD9D9D9"/>
        </patternFill>
      </fill>
    </dxf>
    <dxf>
      <font>
        <b/>
        <sz val="10"/>
        <color rgb="FF000000"/>
        <name val="Arial"/>
      </font>
      <fill>
        <patternFill patternType="solid">
          <fgColor rgb="FFA9D08E"/>
        </patternFill>
      </fill>
    </dxf>
    <dxf>
      <font>
        <b/>
        <sz val="10"/>
        <color rgb="FF000000"/>
        <name val="Arial"/>
      </font>
      <fill>
        <patternFill patternType="solid">
          <fgColor rgb="FFB4C7E7"/>
        </patternFill>
      </fill>
    </dxf>
    <dxf>
      <font>
        <b/>
        <sz val="10"/>
        <color rgb="FF000000"/>
        <name val="Arial"/>
      </font>
      <fill>
        <patternFill patternType="solid">
          <fgColor rgb="FFFFE699"/>
        </patternFill>
      </fill>
    </dxf>
    <dxf>
      <font>
        <b/>
        <sz val="10"/>
        <color rgb="FF000000"/>
        <name val="Arial"/>
      </font>
      <fill>
        <patternFill patternType="solid">
          <fgColor rgb="FFFFC000"/>
        </patternFill>
      </fill>
    </dxf>
    <dxf>
      <font>
        <b/>
        <sz val="10"/>
        <color rgb="FF000000"/>
        <name val="Arial"/>
      </font>
      <fill>
        <patternFill patternType="solid">
          <fgColor rgb="FFF4B183"/>
        </patternFill>
      </fill>
    </dxf>
    <dxf>
      <font>
        <b/>
        <sz val="10"/>
        <color rgb="FF000000"/>
        <name val="Arial"/>
      </font>
      <fill>
        <patternFill patternType="solid">
          <fgColor rgb="FFFF9999"/>
        </patternFill>
      </fill>
    </dxf>
    <dxf>
      <fill>
        <patternFill patternType="solid">
          <fgColor rgb="FFFFE699"/>
        </patternFill>
      </fill>
    </dxf>
    <dxf>
      <font>
        <b/>
        <sz val="10"/>
        <name val="Arial"/>
      </font>
      <fill>
        <patternFill patternType="solid">
          <fgColor rgb="FFF4B183"/>
        </patternFill>
      </fill>
    </dxf>
    <dxf>
      <font>
        <b/>
        <sz val="10"/>
        <color rgb="FF000000"/>
        <name val="Arial"/>
      </font>
      <fill>
        <patternFill patternType="solid">
          <fgColor rgb="FFFF999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jectTracker" displayName="ProjectTracker" ref="A1:P7">
  <tableColumns count="16">
    <tableColumn id="1" xr3:uid="{00000000-0010-0000-0000-000001000000}" name="WBS No. / SQ No."/>
    <tableColumn id="2" xr3:uid="{00000000-0010-0000-0000-000002000000}" name="Customer"/>
    <tableColumn id="3" xr3:uid="{00000000-0010-0000-0000-000003000000}" name="Planning Officer"/>
    <tableColumn id="4" xr3:uid="{00000000-0010-0000-0000-000004000000}" name="Officer Email">
      <calculatedColumnFormula>IF($C2="",Settings!$B$5,IFERROR(INDEX(Settings!$E$2:$E$50,MATCH($C2,Settings!$D$2:$D$50,0)),Settings!$B$5))</calculatedColumnFormula>
    </tableColumn>
    <tableColumn id="5" xr3:uid="{00000000-0010-0000-0000-000005000000}" name="Conn. Charge Paid"/>
    <tableColumn id="6" xr3:uid="{00000000-0010-0000-0000-000006000000}" name="Conn. Paid Date"/>
    <tableColumn id="7" xr3:uid="{00000000-0010-0000-0000-000007000000}" name="Other Charge Status"/>
    <tableColumn id="8" xr3:uid="{00000000-0010-0000-0000-000008000000}" name="Target Date"/>
    <tableColumn id="9" xr3:uid="{00000000-0010-0000-0000-000009000000}" name="Days vs Target">
      <calculatedColumnFormula>IF($A2="","",IF($H2="","",TODAY()-$H2))</calculatedColumnFormula>
    </tableColumn>
    <tableColumn id="10" xr3:uid="{00000000-0010-0000-0000-00000A000000}" name="Submission Round"/>
    <tableColumn id="11" xr3:uid="{00000000-0010-0000-0000-00000B000000}" name="Rejection Reason"/>
    <tableColumn id="12" xr3:uid="{00000000-0010-0000-0000-00000C000000}" name="Snooze Until"/>
    <tableColumn id="13" xr3:uid="{00000000-0010-0000-0000-00000D000000}" name="Finance Reminders"/>
    <tableColumn id="14" xr3:uid="{00000000-0010-0000-0000-00000E000000}" name="Last Reminder Date"/>
    <tableColumn id="15" xr3:uid="{00000000-0010-0000-0000-00000F000000}" name="Priority">
      <calculatedColumnFormula>IF($A2="","",IF(OR($G2="Completed",$G2="Approved"),"DONE",IF(AND($L2&lt;&gt;"",$L2&gt;=TODAY()),"SNOOZED",IF(AND($E2="Yes",$G2="Not Started"),"URGENT - LIST CHARGE",IF(AND($E2&lt;&gt;"Yes",$G2="Not Started"),"OK",IF($H2="","SET TARGET",IF($I2&gt;=Settings!$B$2,"OVERDUE - ESCALATE",IF($I2&gt;0,"OVERDUE",IF($I2&gt;=-1*Settings!$B$3,"DUE SOON","OK")))))))))</calculatedColumnFormula>
    </tableColumn>
    <tableColumn id="16" xr3:uid="{00000000-0010-0000-0000-000010000000}" name="Remark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"/>
  <sheetViews>
    <sheetView tabSelected="1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6" customWidth="1"/>
    <col min="2" max="2" width="24" customWidth="1"/>
    <col min="3" max="3" width="14" customWidth="1"/>
    <col min="4" max="4" width="26" customWidth="1"/>
    <col min="5" max="5" width="11" customWidth="1"/>
    <col min="6" max="6" width="13" customWidth="1"/>
    <col min="7" max="7" width="24" customWidth="1"/>
    <col min="8" max="8" width="13" customWidth="1"/>
    <col min="9" max="9" width="12" customWidth="1"/>
    <col min="10" max="10" width="13" customWidth="1"/>
    <col min="11" max="11" width="26" customWidth="1"/>
    <col min="12" max="12" width="13" customWidth="1"/>
    <col min="13" max="13" width="11" customWidth="1"/>
    <col min="14" max="14" width="14" customWidth="1"/>
    <col min="15" max="15" width="22" customWidth="1"/>
    <col min="16" max="16" width="30" customWidth="1"/>
  </cols>
  <sheetData>
    <row r="1" spans="1:16" ht="34.049999999999997" customHeight="1" x14ac:dyDescent="0.3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3" t="s">
        <v>12</v>
      </c>
      <c r="N1" s="3" t="s">
        <v>13</v>
      </c>
      <c r="O1" s="2" t="s">
        <v>14</v>
      </c>
      <c r="P1" s="1" t="s">
        <v>15</v>
      </c>
    </row>
    <row r="2" spans="1:16" x14ac:dyDescent="0.3">
      <c r="A2" s="4" t="s">
        <v>16</v>
      </c>
      <c r="B2" s="4" t="s">
        <v>17</v>
      </c>
      <c r="C2" s="4" t="s">
        <v>18</v>
      </c>
      <c r="D2" s="4" t="str">
        <f>IF($C2="",Settings!$B$5,IFERROR(INDEX(Settings!$E$2:$E$50,MATCH($C2,Settings!$D$2:$D$50,0)),Settings!$B$5))</f>
        <v>abc@example.com</v>
      </c>
      <c r="E2" s="4" t="s">
        <v>19</v>
      </c>
      <c r="F2" s="5">
        <v>46236</v>
      </c>
      <c r="G2" s="4" t="s">
        <v>20</v>
      </c>
      <c r="H2" s="5"/>
      <c r="I2" s="6" t="str">
        <f t="shared" ref="I2:I7" ca="1" si="0">IF($A2="","",IF($H2="","",TODAY()-$H2))</f>
        <v/>
      </c>
      <c r="J2" s="4" t="s">
        <v>21</v>
      </c>
      <c r="K2" s="4"/>
      <c r="L2" s="5"/>
      <c r="M2" s="4">
        <v>0</v>
      </c>
      <c r="N2" s="5"/>
      <c r="O2" s="7" t="str">
        <f ca="1">IF($A2="","",IF(OR($G2="Completed",$G2="Approved"),"DONE",IF(AND($L2&lt;&gt;"",$L2&gt;=TODAY()),"SNOOZED",IF(AND($E2="Yes",$G2="Not Started"),"URGENT - LIST CHARGE",IF(AND($E2&lt;&gt;"Yes",$G2="Not Started"),"OK",IF($H2="","SET TARGET",IF($I2&gt;=Settings!$B$2,"OVERDUE - ESCALATE",IF($I2&gt;0,"OVERDUE",IF($I2&gt;=-1*Settings!$B$3,"DUE SOON","OK")))))))))</f>
        <v>URGENT - LIST CHARGE</v>
      </c>
      <c r="P2" s="4" t="s">
        <v>22</v>
      </c>
    </row>
    <row r="3" spans="1:16" x14ac:dyDescent="0.3">
      <c r="A3" s="4" t="s">
        <v>23</v>
      </c>
      <c r="B3" s="4" t="s">
        <v>24</v>
      </c>
      <c r="C3" s="4" t="s">
        <v>25</v>
      </c>
      <c r="D3" s="4" t="str">
        <f>IF($C3="",Settings!$B$5,IFERROR(INDEX(Settings!$E$2:$E$50,MATCH($C3,Settings!$D$2:$D$50,0)),Settings!$B$5))</f>
        <v>def@example.com</v>
      </c>
      <c r="E3" s="4" t="s">
        <v>19</v>
      </c>
      <c r="F3" s="5">
        <v>46219</v>
      </c>
      <c r="G3" s="4" t="s">
        <v>26</v>
      </c>
      <c r="H3" s="5">
        <v>46231</v>
      </c>
      <c r="I3" s="6">
        <f t="shared" ca="1" si="0"/>
        <v>8</v>
      </c>
      <c r="J3" s="4" t="s">
        <v>27</v>
      </c>
      <c r="K3" s="4" t="s">
        <v>28</v>
      </c>
      <c r="L3" s="5"/>
      <c r="M3" s="4">
        <v>2</v>
      </c>
      <c r="N3" s="5">
        <v>46237</v>
      </c>
      <c r="O3" s="7" t="str">
        <f ca="1">IF($A3="","",IF(OR($G3="Completed",$G3="Approved"),"DONE",IF(AND($L3&lt;&gt;"",$L3&gt;=TODAY()),"SNOOZED",IF(AND($E3="Yes",$G3="Not Started"),"URGENT - LIST CHARGE",IF(AND($E3&lt;&gt;"Yes",$G3="Not Started"),"OK",IF($H3="","SET TARGET",IF($I3&gt;=Settings!$B$2,"OVERDUE - ESCALATE",IF($I3&gt;0,"OVERDUE",IF($I3&gt;=-1*Settings!$B$3,"DUE SOON","OK")))))))))</f>
        <v>OVERDUE - ESCALATE</v>
      </c>
      <c r="P3" s="4" t="s">
        <v>29</v>
      </c>
    </row>
    <row r="4" spans="1:16" x14ac:dyDescent="0.3">
      <c r="A4" s="4" t="s">
        <v>30</v>
      </c>
      <c r="B4" s="4" t="s">
        <v>31</v>
      </c>
      <c r="C4" s="4" t="s">
        <v>32</v>
      </c>
      <c r="D4" s="4" t="str">
        <f>IF($C4="",Settings!$B$5,IFERROR(INDEX(Settings!$E$2:$E$50,MATCH($C4,Settings!$D$2:$D$50,0)),Settings!$B$5))</f>
        <v>ghi@example.com</v>
      </c>
      <c r="E4" s="4" t="s">
        <v>33</v>
      </c>
      <c r="F4" s="5"/>
      <c r="G4" s="4" t="s">
        <v>20</v>
      </c>
      <c r="H4" s="5"/>
      <c r="I4" s="6" t="str">
        <f t="shared" ca="1" si="0"/>
        <v/>
      </c>
      <c r="J4" s="4" t="s">
        <v>21</v>
      </c>
      <c r="K4" s="4"/>
      <c r="L4" s="5"/>
      <c r="M4" s="4">
        <v>0</v>
      </c>
      <c r="N4" s="5"/>
      <c r="O4" s="7" t="str">
        <f ca="1">IF($A4="","",IF(OR($G4="Completed",$G4="Approved"),"DONE",IF(AND($L4&lt;&gt;"",$L4&gt;=TODAY()),"SNOOZED",IF(AND($E4="Yes",$G4="Not Started"),"URGENT - LIST CHARGE",IF(AND($E4&lt;&gt;"Yes",$G4="Not Started"),"OK",IF($H4="","SET TARGET",IF($I4&gt;=Settings!$B$2,"OVERDUE - ESCALATE",IF($I4&gt;0,"OVERDUE",IF($I4&gt;=-1*Settings!$B$3,"DUE SOON","OK")))))))))</f>
        <v>OK</v>
      </c>
      <c r="P4" s="4" t="s">
        <v>34</v>
      </c>
    </row>
    <row r="5" spans="1:16" x14ac:dyDescent="0.3">
      <c r="A5" s="4" t="s">
        <v>35</v>
      </c>
      <c r="B5" s="4" t="s">
        <v>36</v>
      </c>
      <c r="C5" s="4" t="s">
        <v>37</v>
      </c>
      <c r="D5" s="4" t="str">
        <f>IF($C5="",Settings!$B$5,IFERROR(INDEX(Settings!$E$2:$E$50,MATCH($C5,Settings!$D$2:$D$50,0)),Settings!$B$5))</f>
        <v>jkl@example.com</v>
      </c>
      <c r="E5" s="4" t="s">
        <v>19</v>
      </c>
      <c r="F5" s="5">
        <v>46233</v>
      </c>
      <c r="G5" s="4" t="s">
        <v>38</v>
      </c>
      <c r="H5" s="5">
        <v>46240</v>
      </c>
      <c r="I5" s="6">
        <f t="shared" ca="1" si="0"/>
        <v>-1</v>
      </c>
      <c r="J5" s="4" t="s">
        <v>21</v>
      </c>
      <c r="K5" s="4"/>
      <c r="L5" s="5"/>
      <c r="M5" s="4">
        <v>0</v>
      </c>
      <c r="N5" s="5"/>
      <c r="O5" s="7" t="str">
        <f ca="1">IF($A5="","",IF(OR($G5="Completed",$G5="Approved"),"DONE",IF(AND($L5&lt;&gt;"",$L5&gt;=TODAY()),"SNOOZED",IF(AND($E5="Yes",$G5="Not Started"),"URGENT - LIST CHARGE",IF(AND($E5&lt;&gt;"Yes",$G5="Not Started"),"OK",IF($H5="","SET TARGET",IF($I5&gt;=Settings!$B$2,"OVERDUE - ESCALATE",IF($I5&gt;0,"OVERDUE",IF($I5&gt;=-1*Settings!$B$3,"DUE SOON","OK")))))))))</f>
        <v>DUE SOON</v>
      </c>
      <c r="P5" s="4" t="s">
        <v>39</v>
      </c>
    </row>
    <row r="6" spans="1:16" x14ac:dyDescent="0.3">
      <c r="A6" s="4" t="s">
        <v>40</v>
      </c>
      <c r="B6" s="4" t="s">
        <v>41</v>
      </c>
      <c r="C6" s="4" t="s">
        <v>42</v>
      </c>
      <c r="D6" s="4" t="str">
        <f>IF($C6="",Settings!$B$5,IFERROR(INDEX(Settings!$E$2:$E$50,MATCH($C6,Settings!$D$2:$D$50,0)),Settings!$B$5))</f>
        <v>mno@example.com</v>
      </c>
      <c r="E6" s="4" t="s">
        <v>19</v>
      </c>
      <c r="F6" s="5">
        <v>46209</v>
      </c>
      <c r="G6" s="4" t="s">
        <v>43</v>
      </c>
      <c r="H6" s="5">
        <v>46236</v>
      </c>
      <c r="I6" s="6">
        <f t="shared" ca="1" si="0"/>
        <v>3</v>
      </c>
      <c r="J6" s="4" t="s">
        <v>21</v>
      </c>
      <c r="K6" s="4"/>
      <c r="L6" s="5"/>
      <c r="M6" s="4">
        <v>0</v>
      </c>
      <c r="N6" s="5"/>
      <c r="O6" s="7" t="str">
        <f ca="1">IF($A6="","",IF(OR($G6="Completed",$G6="Approved"),"DONE",IF(AND($L6&lt;&gt;"",$L6&gt;=TODAY()),"SNOOZED",IF(AND($E6="Yes",$G6="Not Started"),"URGENT - LIST CHARGE",IF(AND($E6&lt;&gt;"Yes",$G6="Not Started"),"OK",IF($H6="","SET TARGET",IF($I6&gt;=Settings!$B$2,"OVERDUE - ESCALATE",IF($I6&gt;0,"OVERDUE",IF($I6&gt;=-1*Settings!$B$3,"DUE SOON","OK")))))))))</f>
        <v>OVERDUE</v>
      </c>
      <c r="P6" s="4" t="s">
        <v>44</v>
      </c>
    </row>
    <row r="7" spans="1:16" x14ac:dyDescent="0.3">
      <c r="A7" s="4" t="s">
        <v>45</v>
      </c>
      <c r="B7" s="4" t="s">
        <v>46</v>
      </c>
      <c r="C7" s="4" t="s">
        <v>47</v>
      </c>
      <c r="D7" s="4" t="str">
        <f>IF($C7="",Settings!$B$5,IFERROR(INDEX(Settings!$E$2:$E$50,MATCH($C7,Settings!$D$2:$D$50,0)),Settings!$B$5))</f>
        <v>pqr@example.com</v>
      </c>
      <c r="E7" s="4" t="s">
        <v>19</v>
      </c>
      <c r="F7" s="5">
        <v>46199</v>
      </c>
      <c r="G7" s="4" t="s">
        <v>48</v>
      </c>
      <c r="H7" s="5">
        <v>46219</v>
      </c>
      <c r="I7" s="6">
        <f t="shared" ca="1" si="0"/>
        <v>20</v>
      </c>
      <c r="J7" s="4" t="s">
        <v>21</v>
      </c>
      <c r="K7" s="4"/>
      <c r="L7" s="5"/>
      <c r="M7" s="4">
        <v>0</v>
      </c>
      <c r="N7" s="5"/>
      <c r="O7" s="7" t="str">
        <f ca="1">IF($A7="","",IF(OR($G7="Completed",$G7="Approved"),"DONE",IF(AND($L7&lt;&gt;"",$L7&gt;=TODAY()),"SNOOZED",IF(AND($E7="Yes",$G7="Not Started"),"URGENT - LIST CHARGE",IF(AND($E7&lt;&gt;"Yes",$G7="Not Started"),"OK",IF($H7="","SET TARGET",IF($I7&gt;=Settings!$B$2,"OVERDUE - ESCALATE",IF($I7&gt;0,"OVERDUE",IF($I7&gt;=-1*Settings!$B$3,"DUE SOON","OK")))))))))</f>
        <v>DONE</v>
      </c>
      <c r="P7" s="4" t="s">
        <v>49</v>
      </c>
    </row>
  </sheetData>
  <conditionalFormatting sqref="E2:E400">
    <cfRule type="expression" dxfId="10" priority="9" stopIfTrue="1">
      <formula>$E2="Yes"</formula>
    </cfRule>
  </conditionalFormatting>
  <conditionalFormatting sqref="J2:J400">
    <cfRule type="expression" dxfId="9" priority="10" stopIfTrue="1">
      <formula>OR($J2="3rd",$J2="4th+")</formula>
    </cfRule>
    <cfRule type="expression" dxfId="8" priority="11" stopIfTrue="1">
      <formula>$J2="2nd"</formula>
    </cfRule>
  </conditionalFormatting>
  <conditionalFormatting sqref="O2:O400">
    <cfRule type="expression" dxfId="7" priority="1" stopIfTrue="1">
      <formula>ISNUMBER(SEARCH("URGENT",$O2))</formula>
    </cfRule>
    <cfRule type="expression" dxfId="6" priority="2" stopIfTrue="1">
      <formula>ISNUMBER(SEARCH("OVERDUE - ESCAL",$O2))</formula>
    </cfRule>
    <cfRule type="expression" dxfId="5" priority="3" stopIfTrue="1">
      <formula>ISNUMBER(SEARCH("OVERDUE",$O2))</formula>
    </cfRule>
    <cfRule type="expression" dxfId="4" priority="4" stopIfTrue="1">
      <formula>ISNUMBER(SEARCH("DUE SOON",$O2))</formula>
    </cfRule>
    <cfRule type="expression" dxfId="3" priority="5" stopIfTrue="1">
      <formula>ISNUMBER(SEARCH("SNOOZED",$O2))</formula>
    </cfRule>
    <cfRule type="expression" dxfId="2" priority="6" stopIfTrue="1">
      <formula>ISNUMBER(SEARCH("DONE",$O2))</formula>
    </cfRule>
    <cfRule type="expression" dxfId="1" priority="7" stopIfTrue="1">
      <formula>ISNUMBER(SEARCH("SET TARGET",$O2))</formula>
    </cfRule>
    <cfRule type="expression" dxfId="0" priority="8" stopIfTrue="1">
      <formula>ISNUMBER(SEARCH("OK",$O2))</formula>
    </cfRule>
  </conditionalFormatting>
  <dataValidations count="4">
    <dataValidation type="list" allowBlank="1" sqref="C2:C400" xr:uid="{00000000-0002-0000-0000-000000000000}">
      <formula1>OfficerList</formula1>
    </dataValidation>
    <dataValidation type="list" allowBlank="1" sqref="E2:E400" xr:uid="{00000000-0002-0000-0000-000001000000}">
      <formula1>"Yes,No"</formula1>
    </dataValidation>
    <dataValidation type="list" allowBlank="1" sqref="G2:G400" xr:uid="{00000000-0002-0000-0000-000002000000}">
      <formula1>"Not Started,Keyed into SAP,Pending Engineer,Pending Manager,Approved,Rejected - Pending Resubmission,Completed"</formula1>
    </dataValidation>
    <dataValidation type="list" allowBlank="1" sqref="J2:J400" xr:uid="{00000000-0002-0000-0000-000003000000}">
      <formula1>"1st,2nd,3rd,4th+"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/>
  </sheetViews>
  <sheetFormatPr defaultRowHeight="14.4" x14ac:dyDescent="0.3"/>
  <cols>
    <col min="1" max="1" width="38" customWidth="1"/>
    <col min="2" max="2" width="24" customWidth="1"/>
    <col min="4" max="4" width="14" customWidth="1"/>
    <col min="5" max="5" width="26" customWidth="1"/>
  </cols>
  <sheetData>
    <row r="1" spans="1:5" x14ac:dyDescent="0.3">
      <c r="A1" s="8" t="s">
        <v>50</v>
      </c>
      <c r="B1" s="8" t="s">
        <v>51</v>
      </c>
      <c r="D1" s="8" t="s">
        <v>52</v>
      </c>
      <c r="E1" s="8" t="s">
        <v>53</v>
      </c>
    </row>
    <row r="2" spans="1:5" x14ac:dyDescent="0.3">
      <c r="A2" s="4" t="s">
        <v>54</v>
      </c>
      <c r="B2" s="9">
        <v>7</v>
      </c>
      <c r="D2" s="9" t="s">
        <v>18</v>
      </c>
      <c r="E2" s="9" t="s">
        <v>55</v>
      </c>
    </row>
    <row r="3" spans="1:5" x14ac:dyDescent="0.3">
      <c r="A3" s="4" t="s">
        <v>56</v>
      </c>
      <c r="B3" s="9">
        <v>2</v>
      </c>
      <c r="D3" s="9" t="s">
        <v>25</v>
      </c>
      <c r="E3" s="9" t="s">
        <v>57</v>
      </c>
    </row>
    <row r="4" spans="1:5" x14ac:dyDescent="0.3">
      <c r="A4" s="4" t="s">
        <v>58</v>
      </c>
      <c r="B4" s="9">
        <v>5</v>
      </c>
      <c r="D4" s="9" t="s">
        <v>32</v>
      </c>
      <c r="E4" s="9" t="s">
        <v>59</v>
      </c>
    </row>
    <row r="5" spans="1:5" x14ac:dyDescent="0.3">
      <c r="A5" s="4" t="s">
        <v>60</v>
      </c>
      <c r="B5" s="9" t="s">
        <v>61</v>
      </c>
      <c r="D5" s="9" t="s">
        <v>37</v>
      </c>
      <c r="E5" s="9" t="s">
        <v>62</v>
      </c>
    </row>
    <row r="6" spans="1:5" x14ac:dyDescent="0.3">
      <c r="A6" s="4" t="s">
        <v>63</v>
      </c>
      <c r="B6" s="9" t="s">
        <v>64</v>
      </c>
      <c r="D6" s="9" t="s">
        <v>42</v>
      </c>
      <c r="E6" s="9" t="s">
        <v>65</v>
      </c>
    </row>
    <row r="7" spans="1:5" x14ac:dyDescent="0.3">
      <c r="A7" s="4" t="s">
        <v>66</v>
      </c>
      <c r="B7" s="9" t="s">
        <v>67</v>
      </c>
      <c r="D7" s="9" t="s">
        <v>47</v>
      </c>
      <c r="E7" s="9" t="s">
        <v>68</v>
      </c>
    </row>
    <row r="9" spans="1:5" x14ac:dyDescent="0.3">
      <c r="A9" s="10" t="s">
        <v>69</v>
      </c>
      <c r="D9" s="10" t="s">
        <v>70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"/>
  <sheetViews>
    <sheetView workbookViewId="0"/>
  </sheetViews>
  <sheetFormatPr defaultRowHeight="14.4" x14ac:dyDescent="0.3"/>
  <cols>
    <col min="1" max="1" width="20" customWidth="1"/>
    <col min="2" max="2" width="26" customWidth="1"/>
    <col min="3" max="3" width="46" customWidth="1"/>
    <col min="4" max="4" width="16" customWidth="1"/>
    <col min="5" max="5" width="24" customWidth="1"/>
  </cols>
  <sheetData>
    <row r="1" spans="1:5" x14ac:dyDescent="0.3">
      <c r="A1" s="8" t="s">
        <v>71</v>
      </c>
      <c r="B1" s="8" t="s">
        <v>72</v>
      </c>
      <c r="C1" s="8" t="s">
        <v>73</v>
      </c>
      <c r="D1" s="8" t="s">
        <v>74</v>
      </c>
      <c r="E1" s="8" t="s">
        <v>75</v>
      </c>
    </row>
    <row r="2" spans="1:5" x14ac:dyDescent="0.3">
      <c r="A2" s="11" t="s">
        <v>76</v>
      </c>
      <c r="B2" s="11" t="s">
        <v>77</v>
      </c>
      <c r="C2" s="11" t="s">
        <v>78</v>
      </c>
      <c r="D2" s="11" t="s">
        <v>16</v>
      </c>
      <c r="E2" s="11" t="s">
        <v>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36"/>
  <sheetViews>
    <sheetView workbookViewId="0"/>
  </sheetViews>
  <sheetFormatPr defaultRowHeight="14.4" x14ac:dyDescent="0.3"/>
  <cols>
    <col min="1" max="1" width="112" customWidth="1"/>
  </cols>
  <sheetData>
    <row r="1" spans="1:1" x14ac:dyDescent="0.3">
      <c r="A1" s="12" t="s">
        <v>80</v>
      </c>
    </row>
    <row r="2" spans="1:1" x14ac:dyDescent="0.3">
      <c r="A2" s="13"/>
    </row>
    <row r="3" spans="1:1" x14ac:dyDescent="0.3">
      <c r="A3" s="12" t="s">
        <v>81</v>
      </c>
    </row>
    <row r="4" spans="1:1" x14ac:dyDescent="0.3">
      <c r="A4" s="13" t="s">
        <v>82</v>
      </c>
    </row>
    <row r="5" spans="1:1" x14ac:dyDescent="0.3">
      <c r="A5" s="13" t="s">
        <v>83</v>
      </c>
    </row>
    <row r="6" spans="1:1" x14ac:dyDescent="0.3">
      <c r="A6" s="13" t="s">
        <v>84</v>
      </c>
    </row>
    <row r="7" spans="1:1" x14ac:dyDescent="0.3">
      <c r="A7" s="13"/>
    </row>
    <row r="8" spans="1:1" x14ac:dyDescent="0.3">
      <c r="A8" s="12" t="s">
        <v>85</v>
      </c>
    </row>
    <row r="9" spans="1:1" x14ac:dyDescent="0.3">
      <c r="A9" s="13" t="s">
        <v>86</v>
      </c>
    </row>
    <row r="10" spans="1:1" x14ac:dyDescent="0.3">
      <c r="A10" s="13"/>
    </row>
    <row r="11" spans="1:1" x14ac:dyDescent="0.3">
      <c r="A11" s="12" t="s">
        <v>87</v>
      </c>
    </row>
    <row r="12" spans="1:1" x14ac:dyDescent="0.3">
      <c r="A12" s="13" t="s">
        <v>88</v>
      </c>
    </row>
    <row r="13" spans="1:1" x14ac:dyDescent="0.3">
      <c r="A13" s="13" t="s">
        <v>89</v>
      </c>
    </row>
    <row r="14" spans="1:1" x14ac:dyDescent="0.3">
      <c r="A14" s="13"/>
    </row>
    <row r="15" spans="1:1" x14ac:dyDescent="0.3">
      <c r="A15" s="12" t="s">
        <v>90</v>
      </c>
    </row>
    <row r="16" spans="1:1" x14ac:dyDescent="0.3">
      <c r="A16" s="13" t="s">
        <v>91</v>
      </c>
    </row>
    <row r="17" spans="1:1" x14ac:dyDescent="0.3">
      <c r="A17" s="13"/>
    </row>
    <row r="18" spans="1:1" x14ac:dyDescent="0.3">
      <c r="A18" s="12" t="s">
        <v>92</v>
      </c>
    </row>
    <row r="19" spans="1:1" x14ac:dyDescent="0.3">
      <c r="A19" s="13" t="s">
        <v>93</v>
      </c>
    </row>
    <row r="20" spans="1:1" x14ac:dyDescent="0.3">
      <c r="A20" s="13" t="s">
        <v>94</v>
      </c>
    </row>
    <row r="21" spans="1:1" x14ac:dyDescent="0.3">
      <c r="A21" s="13" t="s">
        <v>95</v>
      </c>
    </row>
    <row r="22" spans="1:1" x14ac:dyDescent="0.3">
      <c r="A22" s="13"/>
    </row>
    <row r="23" spans="1:1" x14ac:dyDescent="0.3">
      <c r="A23" s="12" t="s">
        <v>96</v>
      </c>
    </row>
    <row r="24" spans="1:1" x14ac:dyDescent="0.3">
      <c r="A24" s="13" t="s">
        <v>97</v>
      </c>
    </row>
    <row r="25" spans="1:1" x14ac:dyDescent="0.3">
      <c r="A25" s="13" t="s">
        <v>98</v>
      </c>
    </row>
    <row r="26" spans="1:1" x14ac:dyDescent="0.3">
      <c r="A26" s="13" t="s">
        <v>99</v>
      </c>
    </row>
    <row r="27" spans="1:1" x14ac:dyDescent="0.3">
      <c r="A27" s="13" t="s">
        <v>100</v>
      </c>
    </row>
    <row r="28" spans="1:1" x14ac:dyDescent="0.3">
      <c r="A28" s="13" t="s">
        <v>101</v>
      </c>
    </row>
    <row r="29" spans="1:1" x14ac:dyDescent="0.3">
      <c r="A29" s="13" t="s">
        <v>102</v>
      </c>
    </row>
    <row r="30" spans="1:1" x14ac:dyDescent="0.3">
      <c r="A30" s="13"/>
    </row>
    <row r="31" spans="1:1" x14ac:dyDescent="0.3">
      <c r="A31" s="12" t="s">
        <v>103</v>
      </c>
    </row>
    <row r="32" spans="1:1" x14ac:dyDescent="0.3">
      <c r="A32" s="13" t="s">
        <v>104</v>
      </c>
    </row>
    <row r="33" spans="1:1" x14ac:dyDescent="0.3">
      <c r="A33" s="13" t="s">
        <v>105</v>
      </c>
    </row>
    <row r="34" spans="1:1" x14ac:dyDescent="0.3">
      <c r="A34" s="13"/>
    </row>
    <row r="35" spans="1:1" x14ac:dyDescent="0.3">
      <c r="A35" s="12" t="s">
        <v>106</v>
      </c>
    </row>
    <row r="36" spans="1:1" x14ac:dyDescent="0.3">
      <c r="A36" s="13" t="s">
        <v>107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Tracker</vt:lpstr>
      <vt:lpstr>Settings</vt:lpstr>
      <vt:lpstr>Email Log</vt:lpstr>
      <vt:lpstr>Read Me</vt:lpstr>
      <vt:lpstr>OfficerList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loh jia yao</cp:lastModifiedBy>
  <dcterms:created xsi:type="dcterms:W3CDTF">2026-08-05T05:27:41Z</dcterms:created>
  <dcterms:modified xsi:type="dcterms:W3CDTF">2026-08-05T05:28:00Z</dcterms:modified>
</cp:coreProperties>
</file>